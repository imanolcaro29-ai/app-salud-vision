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Escuelas" state="visible" r:id="rId5"/>
    <sheet sheetId="3" name="Guía" state="visible" r:id="rId6"/>
  </sheets>
  <definedNames>
    <definedName name="_xlnm.Print_Area" localSheetId="0">'Resumen'!$B2:$F28</definedName>
    <definedName name="_xlnm.Print_Area" localSheetId="1">'Escuelas'!$A1:$J10</definedName>
    <definedName name="_xlnm.Print_Titles" localSheetId="1">'Escuelas'!$1:$6</definedName>
    <definedName name="_xlnm.Print_Area" localSheetId="2">'Guía'!$A1:$B17</definedName>
  </definedNames>
  <calcPr calcId="171027" fullCalcOnLoad="1"/>
</workbook>
</file>

<file path=xl/sharedStrings.xml><?xml version="1.0" encoding="utf-8"?>
<sst xmlns="http://schemas.openxmlformats.org/spreadsheetml/2006/main" count="48" uniqueCount="36">
  <si>
    <t>Salud Visión · DATOS FICTICIOS</t>
  </si>
  <si>
    <t>Indicadores del registro escolar</t>
  </si>
  <si>
    <t>Fecha y hora (UTC)</t>
  </si>
  <si>
    <t>Alumnos registrados</t>
  </si>
  <si>
    <t>Alumnos evaluados</t>
  </si>
  <si>
    <t>Anteojos pendientes</t>
  </si>
  <si>
    <t>Anteojos entregados</t>
  </si>
  <si>
    <t>Cobertura de registro</t>
  </si>
  <si>
    <t>La cobertura compara alumnos evaluados con alumnos registrados. Una celda de cobertura vacía significa que no hay alumnos registrados.</t>
  </si>
  <si>
    <t>Fuente: registros actuales de la aplicación. Los estados corresponden al último tamizaje y las entregas a la receta vigente. No incluye nombres, DNI ni diagnósticos de alumnos. Consultá Escuelas para el detalle y Guía para interpretar cada indicador.</t>
  </si>
  <si>
    <t>Salud Visión · DATOS FICTICIOS · Detalle por escuela</t>
  </si>
  <si>
    <t>Estado al momento de exportar. Cada alumno se cuenta una vez por indicador.</t>
  </si>
  <si>
    <t>Exportado (UTC)</t>
  </si>
  <si>
    <t>Escuela</t>
  </si>
  <si>
    <t>Registrados</t>
  </si>
  <si>
    <t>Evaluados</t>
  </si>
  <si>
    <t>Cumple criterio</t>
  </si>
  <si>
    <t>Requiere evaluación</t>
  </si>
  <si>
    <t>Alerta comunicada</t>
  </si>
  <si>
    <t>No evaluable</t>
  </si>
  <si>
    <t>Escuela de ejemplo A</t>
  </si>
  <si>
    <t>Escuela de ejemplo B</t>
  </si>
  <si>
    <t>TOTAL</t>
  </si>
  <si>
    <t>Cómo leer el informe</t>
  </si>
  <si>
    <t>Indicador</t>
  </si>
  <si>
    <t>Qué significa</t>
  </si>
  <si>
    <t>Alumnos con ficha en la escuela.</t>
  </si>
  <si>
    <t>Alumnos con al menos un tamizaje, incluida una prueba no evaluable.</t>
  </si>
  <si>
    <t>Último tamizaje con criterio cumplido. No descarta todos los problemas visuales.</t>
  </si>
  <si>
    <t>Último tamizaje que indica una evaluación profesional.</t>
  </si>
  <si>
    <t>Último tamizaje con una alerta comunicada al equipo sanitario.</t>
  </si>
  <si>
    <t>Último tamizaje incompleto, con condiciones insuficientes o fuera del rango de edad.</t>
  </si>
  <si>
    <t>Órdenes de la receta vigente que todavía no figuran entregadas.</t>
  </si>
  <si>
    <t>Alumnos con entrega registrada para su receta vigente.</t>
  </si>
  <si>
    <t>Evaluados / registrados. No representa cobertura sobre la matrícula escolar.</t>
  </si>
  <si>
    <t>Interpretación: los cuatro resultados del tamizaje suman los evaluados. No sumes órdenes pendientes y entregadas con los resultados visuales: describen etapas distintas. Este informe es una fotografía del registro, no una estimación de prevalencia ni un recuento de consultas realizadas.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</si>
</sst>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"/>
    <numFmt numFmtId="165" formatCode="0.0%"/>
  </numFmts>
  <fonts count="9" x14ac:knownFonts="1">
    <font>
      <color theme="1"/>
      <family val="2"/>
      <scheme val="minor"/>
      <sz val="11"/>
      <name val="Calibri"/>
    </font>
    <font>
      <b/>
      <color rgb="472E25"/>
      <sz val="16"/>
      <name val="Arial"/>
    </font>
    <font>
      <b/>
      <color rgb="472E25"/>
      <sz val="14"/>
    </font>
    <font>
      <b/>
      <color rgb="472E25"/>
      <sz val="17"/>
    </font>
    <font>
      <color rgb="756254"/>
      <sz val="11"/>
    </font>
    <font>
      <b/>
      <color rgb="472E25"/>
      <sz val="11"/>
      <name val="Arial"/>
    </font>
    <font>
      <color rgb="472E25"/>
      <sz val="11"/>
      <name val="Arial"/>
    </font>
    <font>
      <b/>
    </font>
    <font>
      <b/>
      <color rgb="472E25"/>
    </font>
  </fonts>
  <fills count="5">
    <fill>
      <patternFill patternType="none"/>
    </fill>
    <fill>
      <patternFill patternType="gray125"/>
    </fill>
    <fill>
      <patternFill patternType="solid">
        <fgColor rgb="FFD2A2"/>
      </patternFill>
    </fill>
    <fill>
      <patternFill patternType="solid">
        <fgColor rgb="E4F0F3"/>
      </patternFill>
    </fill>
    <fill>
      <patternFill patternType="solid">
        <fgColor rgb="FFF8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2A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3" fontId="3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3" fontId="6" fillId="4" borderId="0" xfId="0" applyNumberFormat="1" applyFont="1" applyFill="1" applyAlignment="1">
      <alignment horizontal="center" vertical="center" wrapText="1"/>
    </xf>
    <xf numFmtId="165" fontId="6" fillId="4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3" fontId="5" fillId="3" borderId="0" xfId="0" applyNumberFormat="1" applyFont="1" applyFill="1" applyAlignment="1">
      <alignment horizontal="center" vertical="center" wrapText="1"/>
    </xf>
    <xf numFmtId="165" fontId="5" fillId="3" borderId="0" xfId="0" applyNumberFormat="1" applyFont="1" applyFill="1" applyAlignment="1">
      <alignment horizontal="center" vertical="center" wrapText="1"/>
    </xf>
    <xf numFmtId="0" fontId="7" fillId="0" borderId="0" xfId="0" applyFont="1"/>
    <xf numFmtId="0" fontId="8" fillId="4" borderId="0" xfId="0" applyFont="1" applyFill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bgColor rgb="E2F0E7"/>
        </patternFill>
      </fill>
    </dxf>
    <dxf>
      <fill>
        <patternFill patternType="solid">
          <bgColor rgb="FFF0D5"/>
        </patternFill>
      </fill>
    </dxf>
    <dxf>
      <fill>
        <patternFill patternType="solid">
          <bgColor rgb="FBE5E2"/>
        </patternFill>
      </fill>
    </dxf>
    <dxf>
      <fill>
        <patternFill patternType="solid">
          <bgColor rgb="EFED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72E25"/>
    <pageSetUpPr fitToPage="1"/>
  </sheetPr>
  <dimension ref="B2:F28"/>
  <sheetViews>
    <sheetView workbookViewId="0" showGridLines="0"/>
  </sheetViews>
  <sheetFormatPr defaultRowHeight="23" outlineLevelRow="0" outlineLevelCol="0" x14ac:dyDescent="55" customHeight="1"/>
  <cols>
    <col min="1" max="1" width="4" customWidth="1"/>
    <col min="2" max="2" width="32" customWidth="1"/>
    <col min="3" max="3" width="20" customWidth="1"/>
    <col min="4" max="4" width="4" customWidth="1"/>
    <col min="5" max="5" width="32" customWidth="1"/>
    <col min="6" max="6" width="20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6" x14ac:dyDescent="0.25">
      <c r="B5" s="2" t="s">
        <v>1</v>
      </c>
      <c r="C5" s="2"/>
      <c r="D5" s="2"/>
      <c r="E5" s="2"/>
      <c r="F5" s="2"/>
    </row>
    <row r="6" spans="2:3" x14ac:dyDescent="0.25">
      <c r="B6" t="s">
        <v>2</v>
      </c>
      <c r="C6" s="3">
        <v>46284.6954155787</v>
      </c>
    </row>
    <row r="9" ht="36" customHeight="1" spans="2:6" x14ac:dyDescent="0.25">
      <c r="B9" s="4" t="s">
        <v>3</v>
      </c>
      <c r="C9" s="4"/>
      <c r="D9" s="4"/>
      <c r="E9" s="4"/>
      <c r="F9" s="5">
        <f>Escuelas!B10</f>
        <v>95</v>
      </c>
    </row>
    <row r="12" ht="36" customHeight="1" spans="2:6" x14ac:dyDescent="0.25">
      <c r="B12" s="4" t="s">
        <v>4</v>
      </c>
      <c r="C12" s="4"/>
      <c r="D12" s="4"/>
      <c r="E12" s="4"/>
      <c r="F12" s="5">
        <f>Escuelas!C10</f>
        <v>69</v>
      </c>
    </row>
    <row r="15" ht="36" customHeight="1" spans="2:6" x14ac:dyDescent="0.25">
      <c r="B15" s="4" t="s">
        <v>5</v>
      </c>
      <c r="C15" s="4"/>
      <c r="D15" s="4"/>
      <c r="E15" s="4"/>
      <c r="F15" s="5">
        <f>Escuelas!H10</f>
        <v>10</v>
      </c>
    </row>
    <row r="18" ht="36" customHeight="1" spans="2:6" x14ac:dyDescent="0.25">
      <c r="B18" s="4" t="s">
        <v>6</v>
      </c>
      <c r="C18" s="4"/>
      <c r="D18" s="4"/>
      <c r="E18" s="4"/>
      <c r="F18" s="5">
        <f>Escuelas!I10</f>
        <v>7</v>
      </c>
    </row>
    <row r="21" ht="36" customHeight="1" spans="2:6" x14ac:dyDescent="0.25">
      <c r="B21" s="6" t="s">
        <v>7</v>
      </c>
      <c r="C21" s="6"/>
      <c r="D21" s="6"/>
      <c r="E21" s="6"/>
      <c r="F21" s="7">
        <f>IF(Escuelas!B10=0,"",Escuelas!J10)</f>
        <v>0.7263157894736842</v>
      </c>
    </row>
    <row r="23" spans="2:6" x14ac:dyDescent="0.25">
      <c r="B23" s="8" t="s">
        <v>8</v>
      </c>
      <c r="C23" s="8"/>
      <c r="D23" s="8"/>
      <c r="E23" s="8"/>
      <c r="F23" s="8"/>
    </row>
    <row r="24" spans="2:6" x14ac:dyDescent="0.25">
      <c r="B24" s="8"/>
      <c r="C24" s="8"/>
      <c r="D24" s="8"/>
      <c r="E24" s="8"/>
      <c r="F24" s="8"/>
    </row>
    <row r="26" spans="2:6" x14ac:dyDescent="0.25">
      <c r="B26" s="9" t="s">
        <v>9</v>
      </c>
      <c r="C26" s="9"/>
      <c r="D26" s="9"/>
      <c r="E26" s="9"/>
      <c r="F26" s="9"/>
    </row>
    <row r="27" spans="2:6" x14ac:dyDescent="0.25">
      <c r="B27" s="9"/>
      <c r="C27" s="9"/>
      <c r="D27" s="9"/>
      <c r="E27" s="9"/>
      <c r="F27" s="9"/>
    </row>
    <row r="28" spans="2:6" x14ac:dyDescent="0.25">
      <c r="B28" s="9"/>
      <c r="C28" s="9"/>
      <c r="D28" s="9"/>
      <c r="E28" s="9"/>
      <c r="F28" s="9"/>
    </row>
  </sheetData>
  <mergeCells count="9">
    <mergeCell ref="B2:F3"/>
    <mergeCell ref="B5:F5"/>
    <mergeCell ref="B9:E9"/>
    <mergeCell ref="B12:E12"/>
    <mergeCell ref="B15:E15"/>
    <mergeCell ref="B18:E18"/>
    <mergeCell ref="B21:E21"/>
    <mergeCell ref="B23:F24"/>
    <mergeCell ref="B26:F28"/>
  </mergeCells>
  <pageMargins left="0.3" right="0.3" top="0.4" bottom="0.4" header="0.2" footer="0.2"/>
  <pageSetup paperSize="9" orientation="portrait" fitToWidth="1" fitToHeight="0"/>
  <headerFooter>
    <oddFooter>Salud Visión —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workbookViewId="0" showGridLines="0">
      <pane xSplit="1" ySplit="6" topLeftCell="B7" activePane="bottomRight" state="frozen"/>
      <selection pane="bottomRight"/>
    </sheetView>
  </sheetViews>
  <sheetFormatPr defaultRowHeight="23" outlineLevelRow="0" outlineLevelCol="0" x14ac:dyDescent="55" customHeight="1"/>
  <cols>
    <col min="1" max="1" width="34" customWidth="1"/>
    <col min="2" max="9" width="18" customWidth="1"/>
    <col min="10" max="10" width="19" customWidth="1"/>
  </cols>
  <sheetData>
    <row r="1" spans="1:10" x14ac:dyDescent="0.2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t="s">
        <v>11</v>
      </c>
      <c r="B3"/>
      <c r="C3"/>
      <c r="D3"/>
      <c r="E3"/>
      <c r="F3"/>
      <c r="G3"/>
      <c r="H3"/>
      <c r="I3"/>
      <c r="J3"/>
    </row>
    <row r="4" spans="1:2" x14ac:dyDescent="0.25">
      <c r="A4" t="s">
        <v>12</v>
      </c>
      <c r="B4" s="3">
        <v>46284.6954155787</v>
      </c>
    </row>
    <row r="6" ht="46" customHeight="1" spans="1:10" x14ac:dyDescent="0.25">
      <c r="A6" s="10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s="11" t="s">
        <v>18</v>
      </c>
      <c r="G6" s="11" t="s">
        <v>19</v>
      </c>
      <c r="H6" s="11" t="s">
        <v>5</v>
      </c>
      <c r="I6" s="11" t="s">
        <v>6</v>
      </c>
      <c r="J6" s="12" t="s">
        <v>7</v>
      </c>
    </row>
    <row r="7" ht="38" customHeight="1" spans="1:10" x14ac:dyDescent="0.25">
      <c r="A7" s="13" t="s">
        <v>20</v>
      </c>
      <c r="B7" s="14">
        <v>60</v>
      </c>
      <c r="C7" s="14">
        <v>48</v>
      </c>
      <c r="D7" s="14">
        <v>30</v>
      </c>
      <c r="E7" s="14">
        <v>10</v>
      </c>
      <c r="F7" s="14">
        <v>2</v>
      </c>
      <c r="G7" s="14">
        <v>6</v>
      </c>
      <c r="H7" s="14">
        <v>7</v>
      </c>
      <c r="I7" s="14">
        <v>3</v>
      </c>
      <c r="J7" s="15">
        <f>IF(B7=0,"",C7/B7)</f>
        <v>0.8</v>
      </c>
    </row>
    <row r="8" ht="38" customHeight="1" spans="1:10" x14ac:dyDescent="0.25">
      <c r="A8" s="16" t="s">
        <v>21</v>
      </c>
      <c r="B8" s="17">
        <v>35</v>
      </c>
      <c r="C8" s="17">
        <v>21</v>
      </c>
      <c r="D8" s="17">
        <v>15</v>
      </c>
      <c r="E8" s="17">
        <v>4</v>
      </c>
      <c r="F8" s="17">
        <v>0</v>
      </c>
      <c r="G8" s="17">
        <v>2</v>
      </c>
      <c r="H8" s="17">
        <v>3</v>
      </c>
      <c r="I8" s="17">
        <v>4</v>
      </c>
      <c r="J8" s="18">
        <f>IF(B8=0,"",C8/B8)</f>
        <v>0.6</v>
      </c>
    </row>
    <row r="9" ht="38" customHeight="1" x14ac:dyDescent="0.25"/>
    <row r="10" ht="38" customHeight="1" spans="1:10" x14ac:dyDescent="0.25">
      <c r="A10" s="19" t="s">
        <v>22</v>
      </c>
      <c r="B10" s="20">
        <f>SUM(B7:B8)</f>
        <v>95</v>
      </c>
      <c r="C10" s="20">
        <f>SUM(C7:C8)</f>
        <v>69</v>
      </c>
      <c r="D10" s="20">
        <f>SUM(D7:D8)</f>
        <v>45</v>
      </c>
      <c r="E10" s="20">
        <f>SUM(E7:E8)</f>
        <v>14</v>
      </c>
      <c r="F10" s="20">
        <f>SUM(F7:F8)</f>
        <v>2</v>
      </c>
      <c r="G10" s="20">
        <f>SUM(G7:G8)</f>
        <v>8</v>
      </c>
      <c r="H10" s="20">
        <f>SUM(H7:H8)</f>
        <v>10</v>
      </c>
      <c r="I10" s="20">
        <f>SUM(I7:I8)</f>
        <v>7</v>
      </c>
      <c r="J10" s="21">
        <f>IF(B10=0,"",C10/B10)</f>
        <v>0.7263157894736842</v>
      </c>
    </row>
  </sheetData>
  <autoFilter ref="A6:J8"/>
  <mergeCells count="2">
    <mergeCell ref="A1:J2"/>
    <mergeCell ref="A3:J3"/>
  </mergeCells>
  <conditionalFormatting sqref="D7:D8">
    <cfRule type="cellIs" dxfId="0" priority="1" operator="greaterThan">
      <formula>0</formula>
    </cfRule>
  </conditionalFormatting>
  <conditionalFormatting sqref="E7:E8">
    <cfRule type="cellIs" dxfId="1" priority="2" operator="greaterThan">
      <formula>0</formula>
    </cfRule>
  </conditionalFormatting>
  <conditionalFormatting sqref="F7:F8">
    <cfRule type="cellIs" dxfId="2" priority="3" operator="greaterThan">
      <formula>0</formula>
    </cfRule>
  </conditionalFormatting>
  <conditionalFormatting sqref="G7:G8">
    <cfRule type="cellIs" dxfId="3" priority="4" operator="greaterThan">
      <formula>0</formula>
    </cfRule>
  </conditionalFormatting>
  <pageMargins left="0.3" right="0.3" top="0.4" bottom="0.4" header="0.2" footer="0.2"/>
  <pageSetup paperSize="9" orientation="landscape" fitToWidth="1" fitToHeight="0"/>
  <headerFooter>
    <oddFooter>Salud Visión —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56254"/>
    <pageSetUpPr fitToPage="1"/>
  </sheetPr>
  <dimension ref="A1:B17"/>
  <sheetViews>
    <sheetView workbookViewId="0" showGridLines="0"/>
  </sheetViews>
  <sheetFormatPr defaultRowHeight="23" outlineLevelRow="0" outlineLevelCol="0" x14ac:dyDescent="55" customHeight="1"/>
  <cols>
    <col min="1" max="1" width="29" customWidth="1"/>
    <col min="2" max="2" width="85" customWidth="1"/>
  </cols>
  <sheetData>
    <row r="1" spans="1:2" x14ac:dyDescent="0.25">
      <c r="A1" s="1" t="s">
        <v>23</v>
      </c>
      <c r="B1" s="1"/>
    </row>
    <row r="2" spans="1:2" x14ac:dyDescent="0.25">
      <c r="A2" s="1"/>
      <c r="B2" s="1"/>
    </row>
    <row r="4" spans="1:2" s="22" customFormat="1" x14ac:dyDescent="0.25">
      <c r="A4" s="22" t="s">
        <v>24</v>
      </c>
      <c r="B4" s="22" t="s">
        <v>25</v>
      </c>
    </row>
    <row r="5" ht="48" customHeight="1" spans="1:2" s="8" customFormat="1" x14ac:dyDescent="0.25">
      <c r="A5" s="23" t="s">
        <v>14</v>
      </c>
      <c r="B5" s="8" t="s">
        <v>26</v>
      </c>
    </row>
    <row r="6" ht="48" customHeight="1" spans="1:2" s="8" customFormat="1" x14ac:dyDescent="0.25">
      <c r="A6" s="23" t="s">
        <v>15</v>
      </c>
      <c r="B6" s="8" t="s">
        <v>27</v>
      </c>
    </row>
    <row r="7" ht="48" customHeight="1" spans="1:2" s="8" customFormat="1" x14ac:dyDescent="0.25">
      <c r="A7" s="23" t="s">
        <v>16</v>
      </c>
      <c r="B7" s="8" t="s">
        <v>28</v>
      </c>
    </row>
    <row r="8" ht="48" customHeight="1" spans="1:2" s="8" customFormat="1" x14ac:dyDescent="0.25">
      <c r="A8" s="23" t="s">
        <v>17</v>
      </c>
      <c r="B8" s="8" t="s">
        <v>29</v>
      </c>
    </row>
    <row r="9" ht="48" customHeight="1" spans="1:2" s="8" customFormat="1" x14ac:dyDescent="0.25">
      <c r="A9" s="23" t="s">
        <v>18</v>
      </c>
      <c r="B9" s="8" t="s">
        <v>30</v>
      </c>
    </row>
    <row r="10" ht="48" customHeight="1" spans="1:2" s="8" customFormat="1" x14ac:dyDescent="0.25">
      <c r="A10" s="23" t="s">
        <v>19</v>
      </c>
      <c r="B10" s="8" t="s">
        <v>31</v>
      </c>
    </row>
    <row r="11" ht="48" customHeight="1" spans="1:2" s="8" customFormat="1" x14ac:dyDescent="0.25">
      <c r="A11" s="23" t="s">
        <v>5</v>
      </c>
      <c r="B11" s="8" t="s">
        <v>32</v>
      </c>
    </row>
    <row r="12" ht="48" customHeight="1" spans="1:2" s="8" customFormat="1" x14ac:dyDescent="0.25">
      <c r="A12" s="23" t="s">
        <v>6</v>
      </c>
      <c r="B12" s="8" t="s">
        <v>33</v>
      </c>
    </row>
    <row r="13" ht="48" customHeight="1" spans="1:2" s="8" customFormat="1" x14ac:dyDescent="0.25">
      <c r="A13" s="23" t="s">
        <v>7</v>
      </c>
      <c r="B13" s="8" t="s">
        <v>34</v>
      </c>
    </row>
    <row r="15" spans="1:2" x14ac:dyDescent="0.25">
      <c r="A15" s="8" t="s">
        <v>35</v>
      </c>
      <c r="B15" s="8"/>
    </row>
    <row r="16" spans="1:2" x14ac:dyDescent="0.25">
      <c r="A16" s="8"/>
      <c r="B16" s="8"/>
    </row>
    <row r="17" spans="1:2" x14ac:dyDescent="0.25">
      <c r="A17" s="8"/>
      <c r="B17" s="8"/>
    </row>
  </sheetData>
  <mergeCells count="2">
    <mergeCell ref="A1:B2"/>
    <mergeCell ref="A15:B17"/>
  </mergeCells>
  <pageMargins left="0.3" right="0.3" top="0.4" bottom="0.4" header="0.2" footer="0.2"/>
  <pageSetup paperSize="9" orientation="portrait" fitToWidth="1" fitToHeight="0"/>
  <headerFooter>
    <oddFooter>Salud Visión —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Escuelas</vt:lpstr>
      <vt:lpstr>Guía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Salud Visión</dc:creator>
  <dc:title/>
  <dc:subject/>
  <dc:description/>
  <cp:keywords/>
  <cp:category/>
  <cp:lastModifiedBy>Unknown</cp:lastModifiedBy>
  <dcterms:created xsi:type="dcterms:W3CDTF">2026-09-19T16:41:23Z</dcterms:created>
  <dcterms:modified xsi:type="dcterms:W3CDTF">2026-09-19T16:41:23Z</dcterms:modified>
</cp:coreProperties>
</file>